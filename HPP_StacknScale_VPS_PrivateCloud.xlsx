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PP VPS" sheetId="1" state="visible" r:id="rId3"/>
    <sheet name="HPP Private Cloud" sheetId="2" state="visible" r:id="rId4"/>
    <sheet name="Benchmark Harg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<sst xmlns="http://schemas.openxmlformats.org/spreadsheetml/2006/main" count="228" uniqueCount="185">
  <si>
    <t xml:space="preserve">HPP VPS - StacknScale (Data Aktual Per Server Node)</t>
  </si>
  <si>
    <t xml:space="preserve">Catatan: Isi cell biru dengan data aktual Anda. Hitam = formula otomatis.</t>
  </si>
  <si>
    <t xml:space="preserve">No</t>
  </si>
  <si>
    <t xml:space="preserve">Komponen Biaya</t>
  </si>
  <si>
    <t xml:space="preserve">Biaya (Rp)</t>
  </si>
  <si>
    <t xml:space="preserve">Satuan</t>
  </si>
  <si>
    <t xml:space="preserve">Qty / Alokasi</t>
  </si>
  <si>
    <t xml:space="preserve">Total / Bulan (Rp)</t>
  </si>
  <si>
    <t xml:space="preserve">A</t>
  </si>
  <si>
    <t xml:space="preserve">HARDWARE (Amortisasi 3 Tahun = 36 Bulan)</t>
  </si>
  <si>
    <t xml:space="preserve">Dedicated Server (Xeon Gold 6138 x2, 256GB, 3.84TB SSD)</t>
  </si>
  <si>
    <t xml:space="preserve">/server/bulan</t>
  </si>
  <si>
    <t xml:space="preserve">(Sudah termasuk colocation, bandwidth, /29 IP)</t>
  </si>
  <si>
    <t xml:space="preserve">Subtotal Hardware / Bulan</t>
  </si>
  <si>
    <t xml:space="preserve">B</t>
  </si>
  <si>
    <t xml:space="preserve">DATA CENTER / COLOCATION (Sudah termasuk di biaya server)</t>
  </si>
  <si>
    <t xml:space="preserve">Rack Space (per U)</t>
  </si>
  <si>
    <t xml:space="preserve">/U/bulan</t>
  </si>
  <si>
    <t xml:space="preserve">Bandwidth Domestik Dedicated (per Mbps)</t>
  </si>
  <si>
    <t xml:space="preserve">/Mbps/bulan</t>
  </si>
  <si>
    <t xml:space="preserve">Bandwidth Internasional (per Mbps)</t>
  </si>
  <si>
    <t xml:space="preserve">IP Public (per IP)</t>
  </si>
  <si>
    <t xml:space="preserve">/IP/bulan</t>
  </si>
  <si>
    <t xml:space="preserve">Power Listrik Tambahan (per kW)</t>
  </si>
  <si>
    <t xml:space="preserve">/kW/bulan</t>
  </si>
  <si>
    <t xml:space="preserve">Subtotal Data Center / Bulan</t>
  </si>
  <si>
    <t xml:space="preserve">C</t>
  </si>
  <si>
    <t xml:space="preserve">SOFTWARE &amp; LICENSING</t>
  </si>
  <si>
    <t xml:space="preserve">Hypervisor (Proxmox Community = gratis)</t>
  </si>
  <si>
    <t xml:space="preserve">/node/bulan</t>
  </si>
  <si>
    <t xml:space="preserve">Proxmox Subscription (opsional)</t>
  </si>
  <si>
    <t xml:space="preserve">Backup Software (PBS/Veeam)</t>
  </si>
  <si>
    <t xml:space="preserve">Monitoring (Zabbix/Grafana = gratis)</t>
  </si>
  <si>
    <t xml:space="preserve">/bulan</t>
  </si>
  <si>
    <t xml:space="preserve">SSL Wildcard Certificate</t>
  </si>
  <si>
    <t xml:space="preserve">Subtotal Software / Bulan</t>
  </si>
  <si>
    <t xml:space="preserve">D</t>
  </si>
  <si>
    <t xml:space="preserve">OPERASIONAL &amp; SDM</t>
  </si>
  <si>
    <t xml:space="preserve">Gaji SysAdmin (alokasi per node)</t>
  </si>
  <si>
    <t xml:space="preserve">/orang/bulan</t>
  </si>
  <si>
    <t xml:space="preserve">Support L1/L2 (alokasi per node)</t>
  </si>
  <si>
    <t xml:space="preserve">Spare Parts Reserve (2% hardware/bulan)</t>
  </si>
  <si>
    <t xml:space="preserve">dari total HW</t>
  </si>
  <si>
    <t xml:space="preserve">Subtotal Operasional / Bulan</t>
  </si>
  <si>
    <t xml:space="preserve">TOTAL HPP PER SERVER NODE / BULAN</t>
  </si>
  <si>
    <t xml:space="preserve">KALKULATOR HARGA JUAL VPS</t>
  </si>
  <si>
    <t xml:space="preserve">Parameter</t>
  </si>
  <si>
    <t xml:space="preserve">Value</t>
  </si>
  <si>
    <t xml:space="preserve">Keterangan</t>
  </si>
  <si>
    <t xml:space="preserve">Total Resource Server</t>
  </si>
  <si>
    <t xml:space="preserve">  CPU Cores</t>
  </si>
  <si>
    <t xml:space="preserve">cores</t>
  </si>
  <si>
    <t xml:space="preserve">Xeon Gold 6138 x2 (80 thread)</t>
  </si>
  <si>
    <t xml:space="preserve">  RAM</t>
  </si>
  <si>
    <t xml:space="preserve">GB</t>
  </si>
  <si>
    <t xml:space="preserve">Total RAM server</t>
  </si>
  <si>
    <t xml:space="preserve">  Storage</t>
  </si>
  <si>
    <t xml:space="preserve">Total SSD/NVMe</t>
  </si>
  <si>
    <t xml:space="preserve">Overcommit Ratio</t>
  </si>
  <si>
    <t xml:space="preserve">  CPU Overcommit</t>
  </si>
  <si>
    <t xml:space="preserve">x</t>
  </si>
  <si>
    <t xml:space="preserve">Standar: 2-4x</t>
  </si>
  <si>
    <t xml:space="preserve">  RAM Overcommit</t>
  </si>
  <si>
    <t xml:space="preserve">Standar: 1-1.5x</t>
  </si>
  <si>
    <t xml:space="preserve">  Storage (no overcommit)</t>
  </si>
  <si>
    <t xml:space="preserve">Usable ~85%</t>
  </si>
  <si>
    <t xml:space="preserve">Resource Jual (Effective)</t>
  </si>
  <si>
    <t xml:space="preserve">  vCPU Jual</t>
  </si>
  <si>
    <t xml:space="preserve">vCores</t>
  </si>
  <si>
    <t xml:space="preserve">CPU Cores x Overcommit</t>
  </si>
  <si>
    <t xml:space="preserve">  RAM Jual</t>
  </si>
  <si>
    <t xml:space="preserve">RAM x Overcommit</t>
  </si>
  <si>
    <t xml:space="preserve">  Storage Jual</t>
  </si>
  <si>
    <t xml:space="preserve">Storage x Usable</t>
  </si>
  <si>
    <t xml:space="preserve">Target Margin</t>
  </si>
  <si>
    <t xml:space="preserve">35% margin standar</t>
  </si>
  <si>
    <t xml:space="preserve">HPP per Unit Resource / Bulan</t>
  </si>
  <si>
    <t xml:space="preserve">  HPP per vCPU</t>
  </si>
  <si>
    <t xml:space="preserve">Rp/vCPU</t>
  </si>
  <si>
    <t xml:space="preserve">  HPP per GB RAM</t>
  </si>
  <si>
    <t xml:space="preserve">Rp/GB</t>
  </si>
  <si>
    <t xml:space="preserve">  HPP per GB Storage</t>
  </si>
  <si>
    <t xml:space="preserve">Harga Jual per Unit / Bulan</t>
  </si>
  <si>
    <t xml:space="preserve">  Harga Jual per vCPU</t>
  </si>
  <si>
    <t xml:space="preserve">  Harga Jual per GB RAM</t>
  </si>
  <si>
    <t xml:space="preserve">  Harga Jual per GB Storage</t>
  </si>
  <si>
    <t xml:space="preserve">CONTOH PAKET VPS</t>
  </si>
  <si>
    <t xml:space="preserve">Paket</t>
  </si>
  <si>
    <t xml:space="preserve">vCPU</t>
  </si>
  <si>
    <t xml:space="preserve">RAM (GB)</t>
  </si>
  <si>
    <t xml:space="preserve">Storage (GB)</t>
  </si>
  <si>
    <t xml:space="preserve">HPP/Bln (Rp)</t>
  </si>
  <si>
    <t xml:space="preserve">Harga Jual/Bln (Rp)</t>
  </si>
  <si>
    <t xml:space="preserve">VPS Starter</t>
  </si>
  <si>
    <t xml:space="preserve">VPS Basic</t>
  </si>
  <si>
    <t xml:space="preserve">VPS Standard</t>
  </si>
  <si>
    <t xml:space="preserve">VPS Pro</t>
  </si>
  <si>
    <t xml:space="preserve">VPS Business</t>
  </si>
  <si>
    <t xml:space="preserve">VPS Enterprise</t>
  </si>
  <si>
    <t xml:space="preserve">HPP PRIVATE CLOUD - StacknScale</t>
  </si>
  <si>
    <t xml:space="preserve">Model: Jual Putus Hardware + Setup Fee | ATAU | Managed Service Bulanan</t>
  </si>
  <si>
    <t xml:space="preserve">Komponen</t>
  </si>
  <si>
    <t xml:space="preserve">Harga Satuan (Rp)</t>
  </si>
  <si>
    <t xml:space="preserve">Qty</t>
  </si>
  <si>
    <t xml:space="preserve">Total (Rp)</t>
  </si>
  <si>
    <t xml:space="preserve">HARDWARE (Jual ke Klien)</t>
  </si>
  <si>
    <t xml:space="preserve">Server Node (Compute)</t>
  </si>
  <si>
    <t xml:space="preserve">unit</t>
  </si>
  <si>
    <t xml:space="preserve">Storage Server / NAS</t>
  </si>
  <si>
    <t xml:space="preserve">Network Switch Managed 10G</t>
  </si>
  <si>
    <t xml:space="preserve">Firewall Appliance</t>
  </si>
  <si>
    <t xml:space="preserve">UPS Rack Mount</t>
  </si>
  <si>
    <t xml:space="preserve">Kabel, SFP, Patch Panel</t>
  </si>
  <si>
    <t xml:space="preserve">set</t>
  </si>
  <si>
    <t xml:space="preserve">Rack Server 42U (jika beli)</t>
  </si>
  <si>
    <t xml:space="preserve">Subtotal Hardware</t>
  </si>
  <si>
    <t xml:space="preserve">JASA SETUP &amp; PROFESSIONAL SERVICES</t>
  </si>
  <si>
    <t xml:space="preserve">Architecture Design &amp; Planning</t>
  </si>
  <si>
    <t xml:space="preserve">project</t>
  </si>
  <si>
    <t xml:space="preserve">Instalasi &amp; Konfigurasi Hypervisor</t>
  </si>
  <si>
    <t xml:space="preserve">Setup Networking &amp; Firewall</t>
  </si>
  <si>
    <t xml:space="preserve">Setup Backup &amp; DR</t>
  </si>
  <si>
    <t xml:space="preserve">Setup Monitoring &amp; Alerting</t>
  </si>
  <si>
    <t xml:space="preserve">Migrasi Data / VM (jika ada)</t>
  </si>
  <si>
    <t xml:space="preserve">Testing &amp; Dokumentasi</t>
  </si>
  <si>
    <t xml:space="preserve">Training Tim Klien</t>
  </si>
  <si>
    <t xml:space="preserve">sesi</t>
  </si>
  <si>
    <t xml:space="preserve">Subtotal Setup</t>
  </si>
  <si>
    <t xml:space="preserve">MANAGED SERVICE (Recurring Bulanan)</t>
  </si>
  <si>
    <t xml:space="preserve">Colocation (Full Rack)</t>
  </si>
  <si>
    <t xml:space="preserve">Bandwidth Dedicated 100Mbps</t>
  </si>
  <si>
    <t xml:space="preserve">IP Public (block /28 = 16 IP)</t>
  </si>
  <si>
    <t xml:space="preserve">Monitoring &amp; Patch Management</t>
  </si>
  <si>
    <t xml:space="preserve">24/7 Support (L1-L3)</t>
  </si>
  <si>
    <t xml:space="preserve">Backup &amp; DR Management</t>
  </si>
  <si>
    <t xml:space="preserve">Lisensi Software (Proxmox sub)</t>
  </si>
  <si>
    <t xml:space="preserve">Subtotal Managed / Bulan</t>
  </si>
  <si>
    <t xml:space="preserve">RINGKASAN PRICING</t>
  </si>
  <si>
    <t xml:space="preserve">Margin Target</t>
  </si>
  <si>
    <t xml:space="preserve">1</t>
  </si>
  <si>
    <t xml:space="preserve">MODEL JUAL PUTUS + SETUP</t>
  </si>
  <si>
    <t xml:space="preserve">HPP (Hardware + Setup)</t>
  </si>
  <si>
    <t xml:space="preserve">HARGA JUAL (1x bayar)</t>
  </si>
  <si>
    <t xml:space="preserve">2</t>
  </si>
  <si>
    <t xml:space="preserve">MODEL MANAGED SERVICE (Bulanan)</t>
  </si>
  <si>
    <t xml:space="preserve">HPP Managed / Bulan</t>
  </si>
  <si>
    <t xml:space="preserve">HARGA JUAL Managed / Bulan</t>
  </si>
  <si>
    <t xml:space="preserve">3</t>
  </si>
  <si>
    <t xml:space="preserve">MODEL HYBRID (HW Jual Putus + Managed Bulanan)</t>
  </si>
  <si>
    <t xml:space="preserve">Harga Hardware (1x)</t>
  </si>
  <si>
    <t xml:space="preserve">Harga Setup (1x)</t>
  </si>
  <si>
    <t xml:space="preserve">Harga Managed / Bulan</t>
  </si>
  <si>
    <t xml:space="preserve">BENCHMARK HARGA PASAR INDONESIA (Juni 2026)</t>
  </si>
  <si>
    <t xml:space="preserve">Range Bawah (Rp)</t>
  </si>
  <si>
    <t xml:space="preserve">Range Atas (Rp)</t>
  </si>
  <si>
    <t xml:space="preserve">Sumber</t>
  </si>
  <si>
    <t xml:space="preserve">COLOCATION</t>
  </si>
  <si>
    <t xml:space="preserve">Rack Space per U</t>
  </si>
  <si>
    <t xml:space="preserve">Wowrack, Herza, KlikServer</t>
  </si>
  <si>
    <t xml:space="preserve">Half Rack (21U)</t>
  </si>
  <si>
    <t xml:space="preserve">Wowrack, Media Solusi</t>
  </si>
  <si>
    <t xml:space="preserve">Full Rack (42U)</t>
  </si>
  <si>
    <t xml:space="preserve">BANDWIDTH</t>
  </si>
  <si>
    <t xml:space="preserve">Domestik 100Mbps CIR 1:1</t>
  </si>
  <si>
    <t xml:space="preserve">Nexa, Herza</t>
  </si>
  <si>
    <t xml:space="preserve">Domestik 1Gbps CIR 1:1</t>
  </si>
  <si>
    <t xml:space="preserve">Nexa</t>
  </si>
  <si>
    <t xml:space="preserve">Internasional 100Mbps</t>
  </si>
  <si>
    <t xml:space="preserve">IP PUBLIC</t>
  </si>
  <si>
    <t xml:space="preserve">Per IP Public</t>
  </si>
  <si>
    <t xml:space="preserve">Moratelindo, ISP umum</t>
  </si>
  <si>
    <t xml:space="preserve">SERVER HARDWARE</t>
  </si>
  <si>
    <t xml:space="preserve">Entry Level (Dell/HPE)</t>
  </si>
  <si>
    <t xml:space="preserve">AnugrahPratama, DimensiData</t>
  </si>
  <si>
    <t xml:space="preserve">Mid Range</t>
  </si>
  <si>
    <t xml:space="preserve">AnugrahPratama, PilarTech</t>
  </si>
  <si>
    <t xml:space="preserve">Enterprise</t>
  </si>
  <si>
    <t xml:space="preserve">Dell Indonesia, HPE</t>
  </si>
  <si>
    <t xml:space="preserve">LISENSI HYPERVISOR</t>
  </si>
  <si>
    <t xml:space="preserve">Proxmox VE (Community)</t>
  </si>
  <si>
    <t xml:space="preserve">Open Source / Gratis</t>
  </si>
  <si>
    <t xml:space="preserve">Proxmox Subscription</t>
  </si>
  <si>
    <t xml:space="preserve">per node/tahun, Proxmox</t>
  </si>
  <si>
    <t xml:space="preserve">VMware vSphere (post-Broadcom)</t>
  </si>
  <si>
    <t xml:space="preserve">per core/tahun, ReadySpace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</si>
</sst>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1A1A2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D6E4F0"/>
        <bgColor rgb="FFD9D9D9"/>
      </patternFill>
    </fill>
    <fill>
      <patternFill patternType="solid">
        <fgColor rgb="FFFFFFCC"/>
        <bgColor rgb="FFFFFFFF"/>
      </patternFill>
    </fill>
    <fill>
      <patternFill patternType="solid">
        <fgColor rgb="FFE2EFDA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0"/>
    <col collapsed="false" customWidth="true" hidden="false" outlineLevel="0" max="6" min="6" style="1" width="2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5" t="s">
        <v>9</v>
      </c>
      <c r="C5" s="5"/>
      <c r="D5" s="5"/>
      <c r="E5" s="5"/>
      <c r="F5" s="5"/>
    </row>
    <row r="6" customFormat="false" ht="15" hidden="false" customHeight="true" outlineLevel="0" collapsed="false">
      <c r="A6" s="6" t="n">
        <v>1</v>
      </c>
      <c r="B6" s="6" t="s">
        <v>10</v>
      </c>
      <c r="C6" s="7" t="n">
        <v>7500000</v>
      </c>
      <c r="D6" s="6" t="s">
        <v>11</v>
      </c>
      <c r="E6" s="8" t="n">
        <v>1</v>
      </c>
      <c r="F6" s="9" t="n">
        <f aca="false">C6*E6</f>
        <v>7500000</v>
      </c>
    </row>
    <row r="7" customFormat="false" ht="15" hidden="false" customHeight="true" outlineLevel="0" collapsed="false">
      <c r="A7" s="6"/>
      <c r="B7" s="10" t="s">
        <v>12</v>
      </c>
      <c r="C7" s="11"/>
      <c r="D7" s="6"/>
      <c r="E7" s="12"/>
      <c r="F7" s="13"/>
    </row>
    <row r="8" customFormat="false" ht="15" hidden="false" customHeight="true" outlineLevel="0" collapsed="false">
      <c r="A8" s="6"/>
      <c r="B8" s="6"/>
      <c r="C8" s="11"/>
      <c r="D8" s="6"/>
      <c r="E8" s="12"/>
      <c r="F8" s="13"/>
    </row>
    <row r="9" customFormat="false" ht="15" hidden="false" customHeight="true" outlineLevel="0" collapsed="false">
      <c r="A9" s="6"/>
      <c r="B9" s="6"/>
      <c r="C9" s="11"/>
      <c r="D9" s="6"/>
      <c r="E9" s="12"/>
      <c r="F9" s="13"/>
    </row>
    <row r="10" customFormat="false" ht="15" hidden="false" customHeight="true" outlineLevel="0" collapsed="false">
      <c r="A10" s="6"/>
      <c r="B10" s="6"/>
      <c r="C10" s="11"/>
      <c r="D10" s="6"/>
      <c r="E10" s="12"/>
      <c r="F10" s="13"/>
    </row>
    <row r="11" customFormat="false" ht="15" hidden="false" customHeight="true" outlineLevel="0" collapsed="false">
      <c r="A11" s="6"/>
      <c r="B11" s="6"/>
      <c r="C11" s="11"/>
      <c r="D11" s="6"/>
      <c r="E11" s="12"/>
      <c r="F11" s="13"/>
    </row>
    <row r="12" customFormat="false" ht="15" hidden="false" customHeight="true" outlineLevel="0" collapsed="false">
      <c r="A12" s="14"/>
      <c r="B12" s="14" t="s">
        <v>13</v>
      </c>
      <c r="C12" s="14"/>
      <c r="D12" s="14"/>
      <c r="E12" s="14"/>
      <c r="F12" s="15" t="n">
        <f aca="false">F6</f>
        <v>7500000</v>
      </c>
    </row>
    <row r="14" customFormat="false" ht="15" hidden="false" customHeight="true" outlineLevel="0" collapsed="false">
      <c r="A14" s="5" t="s">
        <v>14</v>
      </c>
      <c r="B14" s="5" t="s">
        <v>15</v>
      </c>
      <c r="C14" s="5"/>
      <c r="D14" s="5"/>
      <c r="E14" s="5"/>
      <c r="F14" s="5"/>
    </row>
    <row r="15" customFormat="false" ht="15" hidden="false" customHeight="true" outlineLevel="0" collapsed="false">
      <c r="A15" s="6" t="n">
        <v>1</v>
      </c>
      <c r="B15" s="6" t="s">
        <v>16</v>
      </c>
      <c r="C15" s="11" t="n">
        <v>0</v>
      </c>
      <c r="D15" s="6" t="s">
        <v>17</v>
      </c>
      <c r="E15" s="12" t="n">
        <v>0</v>
      </c>
      <c r="F15" s="13" t="n">
        <f aca="false">C15*E15</f>
        <v>0</v>
      </c>
    </row>
    <row r="16" customFormat="false" ht="15" hidden="false" customHeight="true" outlineLevel="0" collapsed="false">
      <c r="A16" s="6" t="n">
        <v>2</v>
      </c>
      <c r="B16" s="6" t="s">
        <v>18</v>
      </c>
      <c r="C16" s="11" t="n">
        <v>0</v>
      </c>
      <c r="D16" s="6" t="s">
        <v>19</v>
      </c>
      <c r="E16" s="12" t="n">
        <v>0</v>
      </c>
      <c r="F16" s="13" t="n">
        <f aca="false">C16*E16</f>
        <v>0</v>
      </c>
    </row>
    <row r="17" customFormat="false" ht="15" hidden="false" customHeight="true" outlineLevel="0" collapsed="false">
      <c r="A17" s="6" t="n">
        <v>3</v>
      </c>
      <c r="B17" s="6" t="s">
        <v>20</v>
      </c>
      <c r="C17" s="11" t="n">
        <v>0</v>
      </c>
      <c r="D17" s="6" t="s">
        <v>19</v>
      </c>
      <c r="E17" s="12" t="n">
        <v>0</v>
      </c>
      <c r="F17" s="13" t="n">
        <f aca="false">C17*E17</f>
        <v>0</v>
      </c>
    </row>
    <row r="18" customFormat="false" ht="15" hidden="false" customHeight="true" outlineLevel="0" collapsed="false">
      <c r="A18" s="6" t="n">
        <v>4</v>
      </c>
      <c r="B18" s="6" t="s">
        <v>21</v>
      </c>
      <c r="C18" s="11" t="n">
        <v>0</v>
      </c>
      <c r="D18" s="6" t="s">
        <v>22</v>
      </c>
      <c r="E18" s="12" t="n">
        <v>0</v>
      </c>
      <c r="F18" s="13" t="n">
        <f aca="false">C18*E18</f>
        <v>0</v>
      </c>
    </row>
    <row r="19" customFormat="false" ht="15" hidden="false" customHeight="true" outlineLevel="0" collapsed="false">
      <c r="A19" s="6" t="n">
        <v>5</v>
      </c>
      <c r="B19" s="6" t="s">
        <v>23</v>
      </c>
      <c r="C19" s="11" t="n">
        <v>0</v>
      </c>
      <c r="D19" s="6" t="s">
        <v>24</v>
      </c>
      <c r="E19" s="12" t="n">
        <v>0</v>
      </c>
      <c r="F19" s="13" t="n">
        <f aca="false">C19*E19</f>
        <v>0</v>
      </c>
    </row>
    <row r="20" customFormat="false" ht="15" hidden="false" customHeight="true" outlineLevel="0" collapsed="false">
      <c r="A20" s="14"/>
      <c r="B20" s="14" t="s">
        <v>25</v>
      </c>
      <c r="C20" s="14"/>
      <c r="D20" s="14"/>
      <c r="E20" s="14"/>
      <c r="F20" s="15" t="n">
        <f aca="false">SUM(F15:F19)</f>
        <v>0</v>
      </c>
    </row>
    <row r="22" customFormat="false" ht="15" hidden="false" customHeight="true" outlineLevel="0" collapsed="false">
      <c r="A22" s="5" t="s">
        <v>26</v>
      </c>
      <c r="B22" s="5" t="s">
        <v>27</v>
      </c>
      <c r="C22" s="5"/>
      <c r="D22" s="5"/>
      <c r="E22" s="5"/>
      <c r="F22" s="5"/>
    </row>
    <row r="23" customFormat="false" ht="15" hidden="false" customHeight="true" outlineLevel="0" collapsed="false">
      <c r="A23" s="6" t="n">
        <v>1</v>
      </c>
      <c r="B23" s="6" t="s">
        <v>28</v>
      </c>
      <c r="C23" s="11" t="n">
        <v>0</v>
      </c>
      <c r="D23" s="6" t="s">
        <v>29</v>
      </c>
      <c r="E23" s="12" t="n">
        <v>1</v>
      </c>
      <c r="F23" s="13" t="n">
        <f aca="false">C23*E23</f>
        <v>0</v>
      </c>
    </row>
    <row r="24" customFormat="false" ht="15" hidden="false" customHeight="true" outlineLevel="0" collapsed="false">
      <c r="A24" s="6" t="n">
        <v>2</v>
      </c>
      <c r="B24" s="6" t="s">
        <v>30</v>
      </c>
      <c r="C24" s="11" t="n">
        <v>500000</v>
      </c>
      <c r="D24" s="6" t="s">
        <v>29</v>
      </c>
      <c r="E24" s="12" t="n">
        <v>1</v>
      </c>
      <c r="F24" s="13" t="n">
        <f aca="false">C24*E24</f>
        <v>500000</v>
      </c>
    </row>
    <row r="25" customFormat="false" ht="15" hidden="false" customHeight="true" outlineLevel="0" collapsed="false">
      <c r="A25" s="6" t="n">
        <v>3</v>
      </c>
      <c r="B25" s="6" t="s">
        <v>31</v>
      </c>
      <c r="C25" s="11" t="n">
        <v>300000</v>
      </c>
      <c r="D25" s="6" t="s">
        <v>29</v>
      </c>
      <c r="E25" s="12" t="n">
        <v>1</v>
      </c>
      <c r="F25" s="13" t="n">
        <f aca="false">C25*E25</f>
        <v>300000</v>
      </c>
    </row>
    <row r="26" customFormat="false" ht="15" hidden="false" customHeight="true" outlineLevel="0" collapsed="false">
      <c r="A26" s="6" t="n">
        <v>4</v>
      </c>
      <c r="B26" s="6" t="s">
        <v>32</v>
      </c>
      <c r="C26" s="11" t="n">
        <v>0</v>
      </c>
      <c r="D26" s="6" t="s">
        <v>33</v>
      </c>
      <c r="E26" s="12" t="n">
        <v>1</v>
      </c>
      <c r="F26" s="13" t="n">
        <f aca="false">C26*E26</f>
        <v>0</v>
      </c>
    </row>
    <row r="27" customFormat="false" ht="15" hidden="false" customHeight="true" outlineLevel="0" collapsed="false">
      <c r="A27" s="6" t="n">
        <v>5</v>
      </c>
      <c r="B27" s="6" t="s">
        <v>34</v>
      </c>
      <c r="C27" s="11" t="n">
        <v>150000</v>
      </c>
      <c r="D27" s="6" t="s">
        <v>33</v>
      </c>
      <c r="E27" s="12" t="n">
        <v>1</v>
      </c>
      <c r="F27" s="13" t="n">
        <f aca="false">C27*E27</f>
        <v>150000</v>
      </c>
    </row>
    <row r="28" customFormat="false" ht="15" hidden="false" customHeight="true" outlineLevel="0" collapsed="false">
      <c r="A28" s="14"/>
      <c r="B28" s="14" t="s">
        <v>35</v>
      </c>
      <c r="C28" s="14"/>
      <c r="D28" s="14"/>
      <c r="E28" s="14"/>
      <c r="F28" s="15" t="n">
        <f aca="false">SUM(F23:F27)</f>
        <v>950000</v>
      </c>
    </row>
    <row r="30" customFormat="false" ht="15" hidden="false" customHeight="true" outlineLevel="0" collapsed="false">
      <c r="A30" s="5" t="s">
        <v>36</v>
      </c>
      <c r="B30" s="5" t="s">
        <v>37</v>
      </c>
      <c r="C30" s="5"/>
      <c r="D30" s="5"/>
      <c r="E30" s="5"/>
      <c r="F30" s="5"/>
    </row>
    <row r="31" customFormat="false" ht="15" hidden="false" customHeight="true" outlineLevel="0" collapsed="false">
      <c r="A31" s="6" t="n">
        <v>1</v>
      </c>
      <c r="B31" s="6" t="s">
        <v>38</v>
      </c>
      <c r="C31" s="11" t="n">
        <v>3500000</v>
      </c>
      <c r="D31" s="6" t="s">
        <v>39</v>
      </c>
      <c r="E31" s="12" t="n">
        <v>0.5</v>
      </c>
      <c r="F31" s="13" t="n">
        <f aca="false">C31*E31</f>
        <v>1750000</v>
      </c>
    </row>
    <row r="32" customFormat="false" ht="15" hidden="false" customHeight="true" outlineLevel="0" collapsed="false">
      <c r="A32" s="6" t="n">
        <v>2</v>
      </c>
      <c r="B32" s="6" t="s">
        <v>40</v>
      </c>
      <c r="C32" s="11" t="n">
        <v>1500000</v>
      </c>
      <c r="D32" s="6" t="s">
        <v>33</v>
      </c>
      <c r="E32" s="12" t="n">
        <v>0.5</v>
      </c>
      <c r="F32" s="13" t="n">
        <f aca="false">C32*E32</f>
        <v>750000</v>
      </c>
    </row>
    <row r="33" customFormat="false" ht="15" hidden="false" customHeight="true" outlineLevel="0" collapsed="false">
      <c r="A33" s="6" t="n">
        <v>3</v>
      </c>
      <c r="B33" s="6" t="s">
        <v>41</v>
      </c>
      <c r="C33" s="16" t="n">
        <v>0.02</v>
      </c>
      <c r="D33" s="6" t="s">
        <v>42</v>
      </c>
      <c r="E33" s="12"/>
      <c r="F33" s="13" t="n">
        <f aca="false">F12*C33</f>
        <v>150000</v>
      </c>
    </row>
    <row r="34" customFormat="false" ht="15" hidden="false" customHeight="true" outlineLevel="0" collapsed="false">
      <c r="A34" s="14"/>
      <c r="B34" s="14" t="s">
        <v>43</v>
      </c>
      <c r="C34" s="14"/>
      <c r="D34" s="14"/>
      <c r="E34" s="14"/>
      <c r="F34" s="15" t="n">
        <f aca="false">SUM(F31:F33)</f>
        <v>2650000</v>
      </c>
    </row>
    <row r="36" customFormat="false" ht="15" hidden="false" customHeight="true" outlineLevel="0" collapsed="false">
      <c r="A36" s="17" t="s">
        <v>44</v>
      </c>
      <c r="B36" s="17"/>
      <c r="C36" s="17"/>
      <c r="D36" s="17"/>
      <c r="E36" s="17"/>
      <c r="F36" s="18" t="n">
        <f aca="false">F12+F20+F28+F34</f>
        <v>11100000</v>
      </c>
    </row>
    <row r="38" customFormat="false" ht="17.25" hidden="false" customHeight="true" outlineLevel="0" collapsed="false">
      <c r="A38" s="2" t="s">
        <v>45</v>
      </c>
      <c r="B38" s="2"/>
      <c r="C38" s="2"/>
      <c r="D38" s="2"/>
      <c r="E38" s="2"/>
      <c r="F38" s="2"/>
    </row>
    <row r="40" customFormat="false" ht="15" hidden="false" customHeight="true" outlineLevel="0" collapsed="false">
      <c r="A40" s="4" t="s">
        <v>2</v>
      </c>
      <c r="B40" s="4" t="s">
        <v>46</v>
      </c>
      <c r="C40" s="4" t="s">
        <v>47</v>
      </c>
      <c r="D40" s="4" t="s">
        <v>5</v>
      </c>
      <c r="E40" s="4" t="s">
        <v>48</v>
      </c>
    </row>
    <row r="41" customFormat="false" ht="15" hidden="false" customHeight="true" outlineLevel="0" collapsed="false">
      <c r="A41" s="6" t="n">
        <v>1</v>
      </c>
      <c r="B41" s="6" t="s">
        <v>49</v>
      </c>
      <c r="C41" s="6"/>
      <c r="D41" s="6"/>
      <c r="E41" s="6"/>
    </row>
    <row r="42" customFormat="false" ht="15" hidden="false" customHeight="true" outlineLevel="0" collapsed="false">
      <c r="A42" s="6"/>
      <c r="B42" s="6" t="s">
        <v>50</v>
      </c>
      <c r="C42" s="12" t="n">
        <v>80</v>
      </c>
      <c r="D42" s="6" t="s">
        <v>51</v>
      </c>
      <c r="E42" s="6" t="s">
        <v>52</v>
      </c>
    </row>
    <row r="43" customFormat="false" ht="15" hidden="false" customHeight="true" outlineLevel="0" collapsed="false">
      <c r="A43" s="6"/>
      <c r="B43" s="6" t="s">
        <v>53</v>
      </c>
      <c r="C43" s="12" t="n">
        <v>256</v>
      </c>
      <c r="D43" s="6" t="s">
        <v>54</v>
      </c>
      <c r="E43" s="6" t="s">
        <v>55</v>
      </c>
    </row>
    <row r="44" customFormat="false" ht="15" hidden="false" customHeight="true" outlineLevel="0" collapsed="false">
      <c r="A44" s="6"/>
      <c r="B44" s="6" t="s">
        <v>56</v>
      </c>
      <c r="C44" s="12" t="n">
        <v>3840</v>
      </c>
      <c r="D44" s="6" t="s">
        <v>54</v>
      </c>
      <c r="E44" s="6" t="s">
        <v>57</v>
      </c>
    </row>
    <row r="45" customFormat="false" ht="15" hidden="false" customHeight="true" outlineLevel="0" collapsed="false">
      <c r="A45" s="6"/>
      <c r="B45" s="6"/>
      <c r="C45" s="6"/>
      <c r="D45" s="6"/>
      <c r="E45" s="6"/>
    </row>
    <row r="46" customFormat="false" ht="15" hidden="false" customHeight="true" outlineLevel="0" collapsed="false">
      <c r="A46" s="6" t="n">
        <v>2</v>
      </c>
      <c r="B46" s="6" t="s">
        <v>58</v>
      </c>
      <c r="C46" s="6"/>
      <c r="D46" s="6"/>
      <c r="E46" s="6"/>
    </row>
    <row r="47" customFormat="false" ht="15" hidden="false" customHeight="true" outlineLevel="0" collapsed="false">
      <c r="A47" s="6"/>
      <c r="B47" s="6" t="s">
        <v>59</v>
      </c>
      <c r="C47" s="12" t="n">
        <v>3</v>
      </c>
      <c r="D47" s="6" t="s">
        <v>60</v>
      </c>
      <c r="E47" s="6" t="s">
        <v>61</v>
      </c>
    </row>
    <row r="48" customFormat="false" ht="15" hidden="false" customHeight="true" outlineLevel="0" collapsed="false">
      <c r="A48" s="6"/>
      <c r="B48" s="6" t="s">
        <v>62</v>
      </c>
      <c r="C48" s="12" t="n">
        <v>1.2</v>
      </c>
      <c r="D48" s="6" t="s">
        <v>60</v>
      </c>
      <c r="E48" s="6" t="s">
        <v>63</v>
      </c>
    </row>
    <row r="49" customFormat="false" ht="15" hidden="false" customHeight="true" outlineLevel="0" collapsed="false">
      <c r="A49" s="6"/>
      <c r="B49" s="6" t="s">
        <v>64</v>
      </c>
      <c r="C49" s="12" t="n">
        <v>0.85</v>
      </c>
      <c r="D49" s="6" t="s">
        <v>60</v>
      </c>
      <c r="E49" s="6" t="s">
        <v>65</v>
      </c>
    </row>
    <row r="50" customFormat="false" ht="15" hidden="false" customHeight="true" outlineLevel="0" collapsed="false">
      <c r="A50" s="6"/>
      <c r="B50" s="6"/>
      <c r="C50" s="6"/>
      <c r="D50" s="6"/>
      <c r="E50" s="6"/>
    </row>
    <row r="51" customFormat="false" ht="15" hidden="false" customHeight="true" outlineLevel="0" collapsed="false">
      <c r="A51" s="6" t="n">
        <v>3</v>
      </c>
      <c r="B51" s="6" t="s">
        <v>66</v>
      </c>
      <c r="C51" s="9"/>
      <c r="D51" s="6"/>
      <c r="E51" s="6"/>
    </row>
    <row r="52" customFormat="false" ht="15" hidden="false" customHeight="true" outlineLevel="0" collapsed="false">
      <c r="A52" s="6"/>
      <c r="B52" s="6" t="s">
        <v>67</v>
      </c>
      <c r="C52" s="9" t="n">
        <f aca="false">C42*C47</f>
        <v>240</v>
      </c>
      <c r="D52" s="6" t="s">
        <v>68</v>
      </c>
      <c r="E52" s="6" t="s">
        <v>69</v>
      </c>
    </row>
    <row r="53" customFormat="false" ht="15" hidden="false" customHeight="true" outlineLevel="0" collapsed="false">
      <c r="A53" s="6"/>
      <c r="B53" s="6" t="s">
        <v>70</v>
      </c>
      <c r="C53" s="9" t="n">
        <f aca="false">C43*C48</f>
        <v>307.2</v>
      </c>
      <c r="D53" s="6" t="s">
        <v>54</v>
      </c>
      <c r="E53" s="6" t="s">
        <v>71</v>
      </c>
    </row>
    <row r="54" customFormat="false" ht="15" hidden="false" customHeight="true" outlineLevel="0" collapsed="false">
      <c r="A54" s="6"/>
      <c r="B54" s="6" t="s">
        <v>72</v>
      </c>
      <c r="C54" s="6" t="n">
        <f aca="false">C44*C49</f>
        <v>3264</v>
      </c>
      <c r="D54" s="6" t="s">
        <v>54</v>
      </c>
      <c r="E54" s="6" t="s">
        <v>73</v>
      </c>
    </row>
    <row r="55" customFormat="false" ht="15" hidden="false" customHeight="true" outlineLevel="0" collapsed="false">
      <c r="A55" s="6"/>
      <c r="B55" s="6"/>
      <c r="C55" s="19" t="n">
        <v>0.35</v>
      </c>
      <c r="D55" s="6"/>
      <c r="E55" s="6"/>
    </row>
    <row r="56" customFormat="false" ht="15" hidden="false" customHeight="true" outlineLevel="0" collapsed="false">
      <c r="A56" s="6" t="n">
        <v>4</v>
      </c>
      <c r="B56" s="6" t="s">
        <v>74</v>
      </c>
      <c r="C56" s="12" t="n">
        <v>0.35</v>
      </c>
      <c r="D56" s="6"/>
      <c r="E56" s="6" t="s">
        <v>75</v>
      </c>
    </row>
    <row r="57" customFormat="false" ht="15" hidden="false" customHeight="true" outlineLevel="0" collapsed="false">
      <c r="A57" s="6"/>
      <c r="B57" s="6"/>
      <c r="C57" s="6"/>
      <c r="D57" s="6"/>
      <c r="E57" s="6"/>
    </row>
    <row r="58" customFormat="false" ht="15" hidden="false" customHeight="true" outlineLevel="0" collapsed="false">
      <c r="A58" s="6" t="n">
        <v>5</v>
      </c>
      <c r="B58" s="6" t="s">
        <v>76</v>
      </c>
      <c r="C58" s="9" t="n">
        <f aca="false">F36*0.4/C52</f>
        <v>18500</v>
      </c>
      <c r="D58" s="6"/>
      <c r="E58" s="6"/>
    </row>
    <row r="59" customFormat="false" ht="15" hidden="false" customHeight="true" outlineLevel="0" collapsed="false">
      <c r="A59" s="6"/>
      <c r="B59" s="6" t="s">
        <v>77</v>
      </c>
      <c r="C59" s="9" t="n">
        <f aca="false">F36*0.35/C53</f>
        <v>12646.484375</v>
      </c>
      <c r="D59" s="6" t="s">
        <v>78</v>
      </c>
      <c r="E59" s="6"/>
    </row>
    <row r="60" customFormat="false" ht="15" hidden="false" customHeight="true" outlineLevel="0" collapsed="false">
      <c r="A60" s="6"/>
      <c r="B60" s="6" t="s">
        <v>79</v>
      </c>
      <c r="C60" s="9" t="n">
        <f aca="false">F36*0.25/C54</f>
        <v>850.183823529412</v>
      </c>
      <c r="D60" s="6" t="s">
        <v>80</v>
      </c>
      <c r="E60" s="6"/>
    </row>
    <row r="61" customFormat="false" ht="15" hidden="false" customHeight="true" outlineLevel="0" collapsed="false">
      <c r="A61" s="6"/>
      <c r="B61" s="6" t="s">
        <v>81</v>
      </c>
      <c r="C61" s="6"/>
      <c r="D61" s="6" t="s">
        <v>80</v>
      </c>
      <c r="E61" s="6"/>
    </row>
    <row r="62" customFormat="false" ht="15" hidden="false" customHeight="true" outlineLevel="0" collapsed="false">
      <c r="A62" s="6"/>
      <c r="B62" s="6"/>
      <c r="C62" s="6"/>
      <c r="D62" s="6"/>
      <c r="E62" s="6"/>
    </row>
    <row r="63" customFormat="false" ht="15" hidden="false" customHeight="true" outlineLevel="0" collapsed="false">
      <c r="A63" s="6" t="n">
        <v>6</v>
      </c>
      <c r="B63" s="6" t="s">
        <v>82</v>
      </c>
      <c r="C63" s="20" t="n">
        <f aca="false">C58/(1-C55)</f>
        <v>28461.5384615385</v>
      </c>
      <c r="D63" s="6"/>
      <c r="E63" s="6"/>
    </row>
    <row r="64" customFormat="false" ht="15" hidden="false" customHeight="true" outlineLevel="0" collapsed="false">
      <c r="A64" s="6"/>
      <c r="B64" s="6" t="s">
        <v>83</v>
      </c>
      <c r="C64" s="20" t="n">
        <f aca="false">C59/(1-C55)</f>
        <v>19456.1298076923</v>
      </c>
      <c r="D64" s="6" t="s">
        <v>78</v>
      </c>
      <c r="E64" s="6"/>
    </row>
    <row r="65" customFormat="false" ht="15" hidden="false" customHeight="true" outlineLevel="0" collapsed="false">
      <c r="A65" s="6"/>
      <c r="B65" s="6" t="s">
        <v>84</v>
      </c>
      <c r="C65" s="20" t="n">
        <f aca="false">C60/(1-C55)</f>
        <v>1307.97511312217</v>
      </c>
      <c r="D65" s="6" t="s">
        <v>80</v>
      </c>
      <c r="E65" s="6"/>
    </row>
    <row r="66" customFormat="false" ht="15" hidden="false" customHeight="true" outlineLevel="0" collapsed="false">
      <c r="A66" s="6"/>
      <c r="B66" s="6" t="s">
        <v>85</v>
      </c>
      <c r="C66" s="6"/>
      <c r="D66" s="6" t="s">
        <v>80</v>
      </c>
      <c r="E66" s="6"/>
    </row>
    <row r="68" customFormat="false" ht="15" hidden="false" customHeight="true" outlineLevel="0" collapsed="false">
      <c r="A68" s="21" t="s">
        <v>86</v>
      </c>
      <c r="B68" s="21"/>
      <c r="C68" s="21"/>
      <c r="D68" s="21"/>
      <c r="E68" s="21"/>
      <c r="F68" s="21"/>
    </row>
    <row r="70" customFormat="false" ht="15" hidden="false" customHeight="true" outlineLevel="0" collapsed="false">
      <c r="A70" s="4" t="s">
        <v>87</v>
      </c>
      <c r="B70" s="4" t="s">
        <v>88</v>
      </c>
      <c r="C70" s="4" t="s">
        <v>89</v>
      </c>
      <c r="D70" s="4" t="s">
        <v>90</v>
      </c>
      <c r="E70" s="4" t="s">
        <v>91</v>
      </c>
      <c r="F70" s="4" t="s">
        <v>92</v>
      </c>
    </row>
    <row r="71" customFormat="false" ht="15" hidden="false" customHeight="true" outlineLevel="0" collapsed="false">
      <c r="A71" s="6" t="s">
        <v>93</v>
      </c>
      <c r="B71" s="12" t="n">
        <v>1</v>
      </c>
      <c r="C71" s="12" t="n">
        <v>1</v>
      </c>
      <c r="D71" s="12" t="n">
        <v>20</v>
      </c>
      <c r="E71" s="13" t="n">
        <f aca="false">(B71*C58)+(C71*C59)+(D71*C60)</f>
        <v>48150.1608455882</v>
      </c>
      <c r="F71" s="22" t="n">
        <f aca="false">(B71*C63)+(C71*C64)+(D71*C65)</f>
        <v>74077.1705316742</v>
      </c>
    </row>
    <row r="72" customFormat="false" ht="15" hidden="false" customHeight="true" outlineLevel="0" collapsed="false">
      <c r="A72" s="6" t="s">
        <v>94</v>
      </c>
      <c r="B72" s="12" t="n">
        <v>2</v>
      </c>
      <c r="C72" s="12" t="n">
        <v>2</v>
      </c>
      <c r="D72" s="12" t="n">
        <v>40</v>
      </c>
      <c r="E72" s="13" t="n">
        <f aca="false">(B72*C58)+(C72*C59)+(D72*C60)</f>
        <v>96300.3216911765</v>
      </c>
      <c r="F72" s="22" t="n">
        <f aca="false">(B72*C63)+(C72*C64)+(D72*C65)</f>
        <v>148154.341063348</v>
      </c>
    </row>
    <row r="73" customFormat="false" ht="15" hidden="false" customHeight="true" outlineLevel="0" collapsed="false">
      <c r="A73" s="6" t="s">
        <v>95</v>
      </c>
      <c r="B73" s="12" t="n">
        <v>2</v>
      </c>
      <c r="C73" s="12" t="n">
        <v>4</v>
      </c>
      <c r="D73" s="12" t="n">
        <v>80</v>
      </c>
      <c r="E73" s="13" t="n">
        <f aca="false">(B73*C58)+(C73*C59)+(D73*C60)</f>
        <v>155600.643382353</v>
      </c>
      <c r="F73" s="22" t="n">
        <f aca="false">(B73*C63)+(C73*C64)+(D73*C65)</f>
        <v>239385.60520362</v>
      </c>
    </row>
    <row r="74" customFormat="false" ht="15" hidden="false" customHeight="true" outlineLevel="0" collapsed="false">
      <c r="A74" s="6" t="s">
        <v>96</v>
      </c>
      <c r="B74" s="12" t="n">
        <v>4</v>
      </c>
      <c r="C74" s="12" t="n">
        <v>8</v>
      </c>
      <c r="D74" s="12" t="n">
        <v>160</v>
      </c>
      <c r="E74" s="13" t="n">
        <f aca="false">(B74*C58)+(C74*C59)+(D74*C60)</f>
        <v>311201.286764706</v>
      </c>
      <c r="F74" s="22" t="n">
        <f aca="false">(B74*C63)+(C74*C64)+(D74*C65)</f>
        <v>478771.21040724</v>
      </c>
    </row>
    <row r="75" customFormat="false" ht="15" hidden="false" customHeight="true" outlineLevel="0" collapsed="false">
      <c r="A75" s="6" t="s">
        <v>97</v>
      </c>
      <c r="B75" s="12" t="n">
        <v>8</v>
      </c>
      <c r="C75" s="12" t="n">
        <v>16</v>
      </c>
      <c r="D75" s="12" t="n">
        <v>320</v>
      </c>
      <c r="E75" s="13" t="n">
        <f aca="false">(B75*C58)+(C75*C59)+(D75*C60)</f>
        <v>622402.573529412</v>
      </c>
      <c r="F75" s="22" t="n">
        <f aca="false">(B75*C63)+(C75*C64)+(D75*C65)</f>
        <v>957542.42081448</v>
      </c>
    </row>
    <row r="76" customFormat="false" ht="15" hidden="false" customHeight="true" outlineLevel="0" collapsed="false">
      <c r="A76" s="6" t="s">
        <v>98</v>
      </c>
      <c r="B76" s="12" t="n">
        <v>16</v>
      </c>
      <c r="C76" s="12" t="n">
        <v>32</v>
      </c>
      <c r="D76" s="12" t="n">
        <v>500</v>
      </c>
      <c r="E76" s="13" t="n">
        <f aca="false">(B76*C58)+(C76*C59)+(D76*C60)</f>
        <v>1125779.41176471</v>
      </c>
      <c r="F76" s="22" t="n">
        <f aca="false">(B76*C63)+(C76*C64)+(D76*C65)</f>
        <v>1731968.32579185</v>
      </c>
    </row>
  </sheetData>
  <mergeCells count="5">
    <mergeCell ref="A1:F1"/>
    <mergeCell ref="A2:F2"/>
    <mergeCell ref="A36:B36"/>
    <mergeCell ref="A38:F38"/>
    <mergeCell ref="A68:F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3" min="3" style="1" width="20"/>
    <col collapsed="false" customWidth="true" hidden="false" outlineLevel="0" max="5" min="4" style="1" width="15"/>
    <col collapsed="false" customWidth="true" hidden="false" outlineLevel="0" max="6" min="6" style="1" width="25"/>
  </cols>
  <sheetData>
    <row r="1" customFormat="false" ht="17.25" hidden="false" customHeight="true" outlineLevel="0" collapsed="false">
      <c r="A1" s="2" t="s">
        <v>99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100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 t="s">
        <v>101</v>
      </c>
      <c r="C4" s="4" t="s">
        <v>102</v>
      </c>
      <c r="D4" s="4" t="s">
        <v>103</v>
      </c>
      <c r="E4" s="4" t="s">
        <v>5</v>
      </c>
      <c r="F4" s="4" t="s">
        <v>104</v>
      </c>
    </row>
    <row r="5" customFormat="false" ht="15" hidden="false" customHeight="true" outlineLevel="0" collapsed="false">
      <c r="A5" s="5" t="s">
        <v>8</v>
      </c>
      <c r="B5" s="5" t="s">
        <v>105</v>
      </c>
      <c r="C5" s="5"/>
      <c r="D5" s="5"/>
      <c r="E5" s="5"/>
      <c r="F5" s="5"/>
    </row>
    <row r="6" customFormat="false" ht="15" hidden="false" customHeight="true" outlineLevel="0" collapsed="false">
      <c r="A6" s="6" t="n">
        <v>1</v>
      </c>
      <c r="B6" s="6" t="s">
        <v>106</v>
      </c>
      <c r="C6" s="11" t="n">
        <v>75000000</v>
      </c>
      <c r="D6" s="12" t="n">
        <v>3</v>
      </c>
      <c r="E6" s="6" t="s">
        <v>107</v>
      </c>
      <c r="F6" s="13" t="n">
        <f aca="false">C6*D6</f>
        <v>225000000</v>
      </c>
    </row>
    <row r="7" customFormat="false" ht="15" hidden="false" customHeight="true" outlineLevel="0" collapsed="false">
      <c r="A7" s="6" t="n">
        <v>2</v>
      </c>
      <c r="B7" s="6" t="s">
        <v>108</v>
      </c>
      <c r="C7" s="11" t="n">
        <v>50000000</v>
      </c>
      <c r="D7" s="12" t="n">
        <v>1</v>
      </c>
      <c r="E7" s="6" t="s">
        <v>107</v>
      </c>
      <c r="F7" s="13" t="n">
        <f aca="false">C7*D7</f>
        <v>50000000</v>
      </c>
    </row>
    <row r="8" customFormat="false" ht="15" hidden="false" customHeight="true" outlineLevel="0" collapsed="false">
      <c r="A8" s="6" t="n">
        <v>3</v>
      </c>
      <c r="B8" s="6" t="s">
        <v>109</v>
      </c>
      <c r="C8" s="11" t="n">
        <v>15000000</v>
      </c>
      <c r="D8" s="12" t="n">
        <v>2</v>
      </c>
      <c r="E8" s="6" t="s">
        <v>107</v>
      </c>
      <c r="F8" s="13" t="n">
        <f aca="false">C8*D8</f>
        <v>30000000</v>
      </c>
    </row>
    <row r="9" customFormat="false" ht="15" hidden="false" customHeight="true" outlineLevel="0" collapsed="false">
      <c r="A9" s="6" t="n">
        <v>4</v>
      </c>
      <c r="B9" s="6" t="s">
        <v>110</v>
      </c>
      <c r="C9" s="11" t="n">
        <v>25000000</v>
      </c>
      <c r="D9" s="12" t="n">
        <v>1</v>
      </c>
      <c r="E9" s="6" t="s">
        <v>107</v>
      </c>
      <c r="F9" s="13" t="n">
        <f aca="false">C9*D9</f>
        <v>25000000</v>
      </c>
    </row>
    <row r="10" customFormat="false" ht="15" hidden="false" customHeight="true" outlineLevel="0" collapsed="false">
      <c r="A10" s="6" t="n">
        <v>5</v>
      </c>
      <c r="B10" s="6" t="s">
        <v>111</v>
      </c>
      <c r="C10" s="11" t="n">
        <v>12000000</v>
      </c>
      <c r="D10" s="12" t="n">
        <v>1</v>
      </c>
      <c r="E10" s="6" t="s">
        <v>107</v>
      </c>
      <c r="F10" s="13" t="n">
        <f aca="false">C10*D10</f>
        <v>12000000</v>
      </c>
    </row>
    <row r="11" customFormat="false" ht="15" hidden="false" customHeight="true" outlineLevel="0" collapsed="false">
      <c r="A11" s="6" t="n">
        <v>6</v>
      </c>
      <c r="B11" s="6" t="s">
        <v>112</v>
      </c>
      <c r="C11" s="11" t="n">
        <v>5000000</v>
      </c>
      <c r="D11" s="12" t="n">
        <v>1</v>
      </c>
      <c r="E11" s="6" t="s">
        <v>113</v>
      </c>
      <c r="F11" s="13" t="n">
        <f aca="false">C11*D11</f>
        <v>5000000</v>
      </c>
    </row>
    <row r="12" customFormat="false" ht="15" hidden="false" customHeight="true" outlineLevel="0" collapsed="false">
      <c r="A12" s="6" t="n">
        <v>7</v>
      </c>
      <c r="B12" s="6" t="s">
        <v>114</v>
      </c>
      <c r="C12" s="11" t="n">
        <v>15000000</v>
      </c>
      <c r="D12" s="12" t="n">
        <v>1</v>
      </c>
      <c r="E12" s="6" t="s">
        <v>107</v>
      </c>
      <c r="F12" s="13" t="n">
        <f aca="false">C12*D12</f>
        <v>15000000</v>
      </c>
    </row>
    <row r="13" customFormat="false" ht="15" hidden="false" customHeight="true" outlineLevel="0" collapsed="false">
      <c r="A13" s="14"/>
      <c r="B13" s="14" t="s">
        <v>115</v>
      </c>
      <c r="C13" s="14"/>
      <c r="D13" s="14"/>
      <c r="E13" s="14"/>
      <c r="F13" s="15" t="n">
        <f aca="false">SUM(F6:F12)</f>
        <v>362000000</v>
      </c>
    </row>
    <row r="15" customFormat="false" ht="15" hidden="false" customHeight="true" outlineLevel="0" collapsed="false">
      <c r="A15" s="5" t="s">
        <v>14</v>
      </c>
      <c r="B15" s="5" t="s">
        <v>116</v>
      </c>
      <c r="C15" s="5"/>
      <c r="D15" s="5"/>
      <c r="E15" s="5"/>
      <c r="F15" s="5"/>
    </row>
    <row r="16" customFormat="false" ht="15" hidden="false" customHeight="true" outlineLevel="0" collapsed="false">
      <c r="A16" s="6" t="n">
        <v>1</v>
      </c>
      <c r="B16" s="6" t="s">
        <v>117</v>
      </c>
      <c r="C16" s="11" t="n">
        <v>15000000</v>
      </c>
      <c r="D16" s="12" t="n">
        <v>1</v>
      </c>
      <c r="E16" s="6" t="s">
        <v>118</v>
      </c>
      <c r="F16" s="13" t="n">
        <f aca="false">C16*D16</f>
        <v>15000000</v>
      </c>
    </row>
    <row r="17" customFormat="false" ht="15" hidden="false" customHeight="true" outlineLevel="0" collapsed="false">
      <c r="A17" s="6" t="n">
        <v>2</v>
      </c>
      <c r="B17" s="6" t="s">
        <v>119</v>
      </c>
      <c r="C17" s="11" t="n">
        <v>10000000</v>
      </c>
      <c r="D17" s="12" t="n">
        <v>1</v>
      </c>
      <c r="E17" s="6" t="s">
        <v>118</v>
      </c>
      <c r="F17" s="13" t="n">
        <f aca="false">C17*D17</f>
        <v>10000000</v>
      </c>
    </row>
    <row r="18" customFormat="false" ht="15" hidden="false" customHeight="true" outlineLevel="0" collapsed="false">
      <c r="A18" s="6" t="n">
        <v>3</v>
      </c>
      <c r="B18" s="6" t="s">
        <v>120</v>
      </c>
      <c r="C18" s="11" t="n">
        <v>8000000</v>
      </c>
      <c r="D18" s="12" t="n">
        <v>1</v>
      </c>
      <c r="E18" s="6" t="s">
        <v>118</v>
      </c>
      <c r="F18" s="13" t="n">
        <f aca="false">C18*D18</f>
        <v>8000000</v>
      </c>
    </row>
    <row r="19" customFormat="false" ht="15" hidden="false" customHeight="true" outlineLevel="0" collapsed="false">
      <c r="A19" s="6" t="n">
        <v>4</v>
      </c>
      <c r="B19" s="6" t="s">
        <v>121</v>
      </c>
      <c r="C19" s="11" t="n">
        <v>5000000</v>
      </c>
      <c r="D19" s="12" t="n">
        <v>1</v>
      </c>
      <c r="E19" s="6" t="s">
        <v>118</v>
      </c>
      <c r="F19" s="13" t="n">
        <f aca="false">C19*D19</f>
        <v>5000000</v>
      </c>
    </row>
    <row r="20" customFormat="false" ht="15" hidden="false" customHeight="true" outlineLevel="0" collapsed="false">
      <c r="A20" s="6" t="n">
        <v>5</v>
      </c>
      <c r="B20" s="6" t="s">
        <v>122</v>
      </c>
      <c r="C20" s="11" t="n">
        <v>3000000</v>
      </c>
      <c r="D20" s="12" t="n">
        <v>1</v>
      </c>
      <c r="E20" s="6" t="s">
        <v>118</v>
      </c>
      <c r="F20" s="13" t="n">
        <f aca="false">C20*D20</f>
        <v>3000000</v>
      </c>
    </row>
    <row r="21" customFormat="false" ht="15" hidden="false" customHeight="true" outlineLevel="0" collapsed="false">
      <c r="A21" s="6" t="n">
        <v>6</v>
      </c>
      <c r="B21" s="6" t="s">
        <v>123</v>
      </c>
      <c r="C21" s="11" t="n">
        <v>10000000</v>
      </c>
      <c r="D21" s="12" t="n">
        <v>1</v>
      </c>
      <c r="E21" s="6" t="s">
        <v>118</v>
      </c>
      <c r="F21" s="13" t="n">
        <f aca="false">C21*D21</f>
        <v>10000000</v>
      </c>
    </row>
    <row r="22" customFormat="false" ht="15" hidden="false" customHeight="true" outlineLevel="0" collapsed="false">
      <c r="A22" s="6" t="n">
        <v>7</v>
      </c>
      <c r="B22" s="6" t="s">
        <v>124</v>
      </c>
      <c r="C22" s="11" t="n">
        <v>5000000</v>
      </c>
      <c r="D22" s="12" t="n">
        <v>1</v>
      </c>
      <c r="E22" s="6" t="s">
        <v>118</v>
      </c>
      <c r="F22" s="13" t="n">
        <f aca="false">C22*D22</f>
        <v>5000000</v>
      </c>
    </row>
    <row r="23" customFormat="false" ht="15" hidden="false" customHeight="true" outlineLevel="0" collapsed="false">
      <c r="A23" s="6" t="n">
        <v>8</v>
      </c>
      <c r="B23" s="6" t="s">
        <v>125</v>
      </c>
      <c r="C23" s="11" t="n">
        <v>5000000</v>
      </c>
      <c r="D23" s="12" t="n">
        <v>1</v>
      </c>
      <c r="E23" s="6" t="s">
        <v>126</v>
      </c>
      <c r="F23" s="13" t="n">
        <f aca="false">C23*D23</f>
        <v>5000000</v>
      </c>
    </row>
    <row r="24" customFormat="false" ht="15" hidden="false" customHeight="true" outlineLevel="0" collapsed="false">
      <c r="A24" s="14"/>
      <c r="B24" s="14" t="s">
        <v>127</v>
      </c>
      <c r="C24" s="14"/>
      <c r="D24" s="14"/>
      <c r="E24" s="14"/>
      <c r="F24" s="15" t="n">
        <f aca="false">SUM(F16:F23)</f>
        <v>61000000</v>
      </c>
    </row>
    <row r="26" customFormat="false" ht="15" hidden="false" customHeight="true" outlineLevel="0" collapsed="false">
      <c r="A26" s="5" t="s">
        <v>26</v>
      </c>
      <c r="B26" s="5" t="s">
        <v>128</v>
      </c>
      <c r="C26" s="5"/>
      <c r="D26" s="5"/>
      <c r="E26" s="5"/>
      <c r="F26" s="5"/>
    </row>
    <row r="27" customFormat="false" ht="15" hidden="false" customHeight="true" outlineLevel="0" collapsed="false">
      <c r="A27" s="6" t="n">
        <v>1</v>
      </c>
      <c r="B27" s="6" t="s">
        <v>129</v>
      </c>
      <c r="C27" s="11" t="n">
        <v>15000000</v>
      </c>
      <c r="D27" s="12" t="n">
        <v>1</v>
      </c>
      <c r="E27" s="6" t="s">
        <v>33</v>
      </c>
      <c r="F27" s="13" t="n">
        <f aca="false">C27*D27</f>
        <v>15000000</v>
      </c>
    </row>
    <row r="28" customFormat="false" ht="15" hidden="false" customHeight="true" outlineLevel="0" collapsed="false">
      <c r="A28" s="6" t="n">
        <v>2</v>
      </c>
      <c r="B28" s="6" t="s">
        <v>130</v>
      </c>
      <c r="C28" s="11" t="n">
        <v>2500000</v>
      </c>
      <c r="D28" s="12" t="n">
        <v>1</v>
      </c>
      <c r="E28" s="6" t="s">
        <v>33</v>
      </c>
      <c r="F28" s="13" t="n">
        <f aca="false">C28*D28</f>
        <v>2500000</v>
      </c>
    </row>
    <row r="29" customFormat="false" ht="15" hidden="false" customHeight="true" outlineLevel="0" collapsed="false">
      <c r="A29" s="6" t="n">
        <v>3</v>
      </c>
      <c r="B29" s="6" t="s">
        <v>131</v>
      </c>
      <c r="C29" s="11" t="n">
        <v>60000</v>
      </c>
      <c r="D29" s="12" t="n">
        <v>16</v>
      </c>
      <c r="E29" s="6" t="s">
        <v>22</v>
      </c>
      <c r="F29" s="13" t="n">
        <f aca="false">C29*D29</f>
        <v>960000</v>
      </c>
    </row>
    <row r="30" customFormat="false" ht="15" hidden="false" customHeight="true" outlineLevel="0" collapsed="false">
      <c r="A30" s="6" t="n">
        <v>4</v>
      </c>
      <c r="B30" s="6" t="s">
        <v>132</v>
      </c>
      <c r="C30" s="11" t="n">
        <v>5000000</v>
      </c>
      <c r="D30" s="12" t="n">
        <v>1</v>
      </c>
      <c r="E30" s="6" t="s">
        <v>33</v>
      </c>
      <c r="F30" s="13" t="n">
        <f aca="false">C30*D30</f>
        <v>5000000</v>
      </c>
    </row>
    <row r="31" customFormat="false" ht="15" hidden="false" customHeight="true" outlineLevel="0" collapsed="false">
      <c r="A31" s="6" t="n">
        <v>5</v>
      </c>
      <c r="B31" s="6" t="s">
        <v>133</v>
      </c>
      <c r="C31" s="11" t="n">
        <v>8000000</v>
      </c>
      <c r="D31" s="12" t="n">
        <v>1</v>
      </c>
      <c r="E31" s="6" t="s">
        <v>33</v>
      </c>
      <c r="F31" s="13" t="n">
        <f aca="false">C31*D31</f>
        <v>8000000</v>
      </c>
    </row>
    <row r="32" customFormat="false" ht="15" hidden="false" customHeight="true" outlineLevel="0" collapsed="false">
      <c r="A32" s="6" t="n">
        <v>6</v>
      </c>
      <c r="B32" s="6" t="s">
        <v>134</v>
      </c>
      <c r="C32" s="11" t="n">
        <v>3000000</v>
      </c>
      <c r="D32" s="12" t="n">
        <v>1</v>
      </c>
      <c r="E32" s="6" t="s">
        <v>33</v>
      </c>
      <c r="F32" s="13" t="n">
        <f aca="false">C32*D32</f>
        <v>3000000</v>
      </c>
    </row>
    <row r="33" customFormat="false" ht="15" hidden="false" customHeight="true" outlineLevel="0" collapsed="false">
      <c r="A33" s="6" t="n">
        <v>7</v>
      </c>
      <c r="B33" s="6" t="s">
        <v>135</v>
      </c>
      <c r="C33" s="11" t="n">
        <v>500000</v>
      </c>
      <c r="D33" s="12" t="n">
        <v>3</v>
      </c>
      <c r="E33" s="6" t="s">
        <v>29</v>
      </c>
      <c r="F33" s="13" t="n">
        <f aca="false">C33*D33</f>
        <v>1500000</v>
      </c>
    </row>
    <row r="34" customFormat="false" ht="15" hidden="false" customHeight="true" outlineLevel="0" collapsed="false">
      <c r="A34" s="14"/>
      <c r="B34" s="14" t="s">
        <v>136</v>
      </c>
      <c r="C34" s="14"/>
      <c r="D34" s="14"/>
      <c r="E34" s="14"/>
      <c r="F34" s="15" t="n">
        <f aca="false">SUM(F27:F33)</f>
        <v>35960000</v>
      </c>
    </row>
    <row r="36" customFormat="false" ht="17.25" hidden="false" customHeight="true" outlineLevel="0" collapsed="false">
      <c r="A36" s="2" t="s">
        <v>137</v>
      </c>
      <c r="B36" s="2"/>
      <c r="C36" s="2"/>
      <c r="D36" s="2"/>
      <c r="E36" s="2"/>
      <c r="F36" s="2"/>
    </row>
    <row r="38" customFormat="false" ht="15" hidden="false" customHeight="true" outlineLevel="0" collapsed="false">
      <c r="A38" s="14"/>
      <c r="B38" s="14" t="s">
        <v>138</v>
      </c>
      <c r="C38" s="23" t="n">
        <v>0.3</v>
      </c>
      <c r="D38" s="14"/>
      <c r="E38" s="14"/>
      <c r="F38" s="14"/>
    </row>
    <row r="40" customFormat="false" ht="15" hidden="false" customHeight="true" outlineLevel="0" collapsed="false">
      <c r="A40" s="5" t="s">
        <v>139</v>
      </c>
      <c r="B40" s="5" t="s">
        <v>140</v>
      </c>
      <c r="C40" s="5"/>
      <c r="D40" s="5"/>
      <c r="E40" s="5"/>
      <c r="F40" s="5"/>
    </row>
    <row r="41" customFormat="false" ht="15" hidden="false" customHeight="true" outlineLevel="0" collapsed="false">
      <c r="A41" s="6"/>
      <c r="B41" s="6" t="s">
        <v>141</v>
      </c>
      <c r="C41" s="6"/>
      <c r="D41" s="6"/>
      <c r="E41" s="6"/>
      <c r="F41" s="13" t="n">
        <f aca="false">F13+F24</f>
        <v>423000000</v>
      </c>
    </row>
    <row r="42" customFormat="false" ht="15" hidden="false" customHeight="true" outlineLevel="0" collapsed="false">
      <c r="A42" s="14"/>
      <c r="B42" s="14" t="s">
        <v>142</v>
      </c>
      <c r="C42" s="14"/>
      <c r="D42" s="14"/>
      <c r="E42" s="14"/>
      <c r="F42" s="15" t="n">
        <f aca="false">F41/(1-C38)</f>
        <v>604285714.285714</v>
      </c>
    </row>
    <row r="44" customFormat="false" ht="15" hidden="false" customHeight="true" outlineLevel="0" collapsed="false">
      <c r="A44" s="5" t="s">
        <v>143</v>
      </c>
      <c r="B44" s="5" t="s">
        <v>144</v>
      </c>
      <c r="C44" s="5"/>
      <c r="D44" s="5"/>
      <c r="E44" s="5"/>
      <c r="F44" s="5"/>
    </row>
    <row r="45" customFormat="false" ht="15" hidden="false" customHeight="true" outlineLevel="0" collapsed="false">
      <c r="A45" s="6"/>
      <c r="B45" s="6" t="s">
        <v>145</v>
      </c>
      <c r="C45" s="6"/>
      <c r="D45" s="6"/>
      <c r="E45" s="6"/>
      <c r="F45" s="13" t="n">
        <f aca="false">F34</f>
        <v>35960000</v>
      </c>
    </row>
    <row r="46" customFormat="false" ht="15" hidden="false" customHeight="true" outlineLevel="0" collapsed="false">
      <c r="A46" s="14"/>
      <c r="B46" s="14" t="s">
        <v>146</v>
      </c>
      <c r="C46" s="14"/>
      <c r="D46" s="14"/>
      <c r="E46" s="14"/>
      <c r="F46" s="15" t="n">
        <f aca="false">F45/(1-C38)</f>
        <v>51371428.5714286</v>
      </c>
    </row>
    <row r="48" customFormat="false" ht="15" hidden="false" customHeight="true" outlineLevel="0" collapsed="false">
      <c r="A48" s="5" t="s">
        <v>147</v>
      </c>
      <c r="B48" s="5" t="s">
        <v>148</v>
      </c>
      <c r="C48" s="5"/>
      <c r="D48" s="5"/>
      <c r="E48" s="5"/>
      <c r="F48" s="5"/>
    </row>
    <row r="49" customFormat="false" ht="15" hidden="false" customHeight="true" outlineLevel="0" collapsed="false">
      <c r="A49" s="6"/>
      <c r="B49" s="6" t="s">
        <v>149</v>
      </c>
      <c r="C49" s="6"/>
      <c r="D49" s="6"/>
      <c r="E49" s="6"/>
      <c r="F49" s="22" t="n">
        <f aca="false">F13/(1-C38)</f>
        <v>517142857.142857</v>
      </c>
    </row>
    <row r="50" customFormat="false" ht="15" hidden="false" customHeight="true" outlineLevel="0" collapsed="false">
      <c r="A50" s="6"/>
      <c r="B50" s="6" t="s">
        <v>150</v>
      </c>
      <c r="C50" s="6"/>
      <c r="D50" s="6"/>
      <c r="E50" s="6"/>
      <c r="F50" s="22" t="n">
        <f aca="false">F24/(1-C38)</f>
        <v>87142857.1428572</v>
      </c>
    </row>
    <row r="51" customFormat="false" ht="15" hidden="false" customHeight="true" outlineLevel="0" collapsed="false">
      <c r="A51" s="6"/>
      <c r="B51" s="6" t="s">
        <v>151</v>
      </c>
      <c r="C51" s="6"/>
      <c r="D51" s="6"/>
      <c r="E51" s="6"/>
      <c r="F51" s="22" t="n">
        <f aca="false">F34/(1-C38)</f>
        <v>51371428.5714286</v>
      </c>
    </row>
  </sheetData>
  <mergeCells count="3">
    <mergeCell ref="A1:F1"/>
    <mergeCell ref="A2:F2"/>
    <mergeCell ref="A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5"/>
    <col collapsed="false" customWidth="true" hidden="false" outlineLevel="0" max="4" min="3" style="1" width="20"/>
    <col collapsed="false" customWidth="true" hidden="false" outlineLevel="0" max="5" min="5" style="1" width="30"/>
  </cols>
  <sheetData>
    <row r="1" customFormat="false" ht="17.25" hidden="false" customHeight="true" outlineLevel="0" collapsed="false">
      <c r="A1" s="2" t="s">
        <v>152</v>
      </c>
      <c r="B1" s="2"/>
      <c r="C1" s="2"/>
      <c r="D1" s="2"/>
      <c r="E1" s="2"/>
    </row>
    <row r="3" customFormat="false" ht="15" hidden="false" customHeight="true" outlineLevel="0" collapsed="false">
      <c r="A3" s="4" t="s">
        <v>2</v>
      </c>
      <c r="B3" s="4" t="s">
        <v>101</v>
      </c>
      <c r="C3" s="4" t="s">
        <v>153</v>
      </c>
      <c r="D3" s="4" t="s">
        <v>154</v>
      </c>
      <c r="E3" s="4" t="s">
        <v>155</v>
      </c>
    </row>
    <row r="4" customFormat="false" ht="15" hidden="false" customHeight="true" outlineLevel="0" collapsed="false">
      <c r="A4" s="24"/>
      <c r="B4" s="24" t="s">
        <v>156</v>
      </c>
      <c r="C4" s="24"/>
      <c r="D4" s="24"/>
      <c r="E4" s="24"/>
    </row>
    <row r="5" customFormat="false" ht="15" hidden="false" customHeight="true" outlineLevel="0" collapsed="false">
      <c r="A5" s="6" t="n">
        <v>1</v>
      </c>
      <c r="B5" s="6" t="s">
        <v>157</v>
      </c>
      <c r="C5" s="13" t="n">
        <v>500000</v>
      </c>
      <c r="D5" s="13" t="n">
        <v>1500000</v>
      </c>
      <c r="E5" s="6" t="s">
        <v>158</v>
      </c>
    </row>
    <row r="6" customFormat="false" ht="15" hidden="false" customHeight="true" outlineLevel="0" collapsed="false">
      <c r="A6" s="6" t="n">
        <v>2</v>
      </c>
      <c r="B6" s="6" t="s">
        <v>159</v>
      </c>
      <c r="C6" s="13" t="n">
        <v>3000000</v>
      </c>
      <c r="D6" s="13" t="n">
        <v>12000000</v>
      </c>
      <c r="E6" s="6" t="s">
        <v>160</v>
      </c>
    </row>
    <row r="7" customFormat="false" ht="15" hidden="false" customHeight="true" outlineLevel="0" collapsed="false">
      <c r="A7" s="6" t="n">
        <v>3</v>
      </c>
      <c r="B7" s="6" t="s">
        <v>161</v>
      </c>
      <c r="C7" s="13" t="n">
        <v>6000000</v>
      </c>
      <c r="D7" s="13" t="n">
        <v>25000000</v>
      </c>
      <c r="E7" s="6" t="s">
        <v>160</v>
      </c>
    </row>
    <row r="8" customFormat="false" ht="15" hidden="false" customHeight="true" outlineLevel="0" collapsed="false">
      <c r="A8" s="24"/>
      <c r="B8" s="24"/>
      <c r="C8" s="24"/>
      <c r="D8" s="24"/>
      <c r="E8" s="24"/>
    </row>
    <row r="9" customFormat="false" ht="15" hidden="false" customHeight="true" outlineLevel="0" collapsed="false">
      <c r="A9" s="24"/>
      <c r="B9" s="24" t="s">
        <v>162</v>
      </c>
      <c r="C9" s="24"/>
      <c r="D9" s="24"/>
      <c r="E9" s="24"/>
    </row>
    <row r="10" customFormat="false" ht="15" hidden="false" customHeight="true" outlineLevel="0" collapsed="false">
      <c r="A10" s="6" t="n">
        <v>4</v>
      </c>
      <c r="B10" s="6" t="s">
        <v>163</v>
      </c>
      <c r="C10" s="13" t="n">
        <v>500000</v>
      </c>
      <c r="D10" s="13" t="n">
        <v>500000</v>
      </c>
      <c r="E10" s="6" t="s">
        <v>164</v>
      </c>
    </row>
    <row r="11" customFormat="false" ht="15" hidden="false" customHeight="true" outlineLevel="0" collapsed="false">
      <c r="A11" s="6" t="n">
        <v>5</v>
      </c>
      <c r="B11" s="6" t="s">
        <v>165</v>
      </c>
      <c r="C11" s="13" t="n">
        <v>2500000</v>
      </c>
      <c r="D11" s="13" t="n">
        <v>2500000</v>
      </c>
      <c r="E11" s="6" t="s">
        <v>166</v>
      </c>
    </row>
    <row r="12" customFormat="false" ht="15" hidden="false" customHeight="true" outlineLevel="0" collapsed="false">
      <c r="A12" s="6" t="n">
        <v>6</v>
      </c>
      <c r="B12" s="6" t="s">
        <v>167</v>
      </c>
      <c r="C12" s="13" t="n">
        <v>1500000</v>
      </c>
      <c r="D12" s="13" t="n">
        <v>10000000</v>
      </c>
      <c r="E12" s="6" t="s">
        <v>164</v>
      </c>
    </row>
    <row r="13" customFormat="false" ht="15" hidden="false" customHeight="true" outlineLevel="0" collapsed="false">
      <c r="A13" s="24"/>
      <c r="B13" s="24"/>
      <c r="C13" s="24"/>
      <c r="D13" s="24"/>
      <c r="E13" s="24"/>
    </row>
    <row r="14" customFormat="false" ht="15" hidden="false" customHeight="true" outlineLevel="0" collapsed="false">
      <c r="A14" s="24"/>
      <c r="B14" s="24" t="s">
        <v>168</v>
      </c>
      <c r="C14" s="24"/>
      <c r="D14" s="24"/>
      <c r="E14" s="24"/>
    </row>
    <row r="15" customFormat="false" ht="15" hidden="false" customHeight="true" outlineLevel="0" collapsed="false">
      <c r="A15" s="6" t="n">
        <v>7</v>
      </c>
      <c r="B15" s="6" t="s">
        <v>169</v>
      </c>
      <c r="C15" s="13" t="n">
        <v>50000</v>
      </c>
      <c r="D15" s="13" t="n">
        <v>100000</v>
      </c>
      <c r="E15" s="6" t="s">
        <v>170</v>
      </c>
    </row>
    <row r="16" customFormat="false" ht="15" hidden="false" customHeight="true" outlineLevel="0" collapsed="false">
      <c r="A16" s="24"/>
      <c r="B16" s="24"/>
      <c r="C16" s="24"/>
      <c r="D16" s="24"/>
      <c r="E16" s="24"/>
    </row>
    <row r="17" customFormat="false" ht="15" hidden="false" customHeight="true" outlineLevel="0" collapsed="false">
      <c r="A17" s="24"/>
      <c r="B17" s="24" t="s">
        <v>171</v>
      </c>
      <c r="C17" s="24"/>
      <c r="D17" s="24"/>
      <c r="E17" s="24"/>
    </row>
    <row r="18" customFormat="false" ht="15" hidden="false" customHeight="true" outlineLevel="0" collapsed="false">
      <c r="A18" s="6" t="n">
        <v>8</v>
      </c>
      <c r="B18" s="6" t="s">
        <v>172</v>
      </c>
      <c r="C18" s="13" t="n">
        <v>15000000</v>
      </c>
      <c r="D18" s="13" t="n">
        <v>35000000</v>
      </c>
      <c r="E18" s="6" t="s">
        <v>173</v>
      </c>
    </row>
    <row r="19" customFormat="false" ht="15" hidden="false" customHeight="true" outlineLevel="0" collapsed="false">
      <c r="A19" s="6" t="n">
        <v>9</v>
      </c>
      <c r="B19" s="6" t="s">
        <v>174</v>
      </c>
      <c r="C19" s="13" t="n">
        <v>35000000</v>
      </c>
      <c r="D19" s="13" t="n">
        <v>120000000</v>
      </c>
      <c r="E19" s="6" t="s">
        <v>175</v>
      </c>
    </row>
    <row r="20" customFormat="false" ht="15" hidden="false" customHeight="true" outlineLevel="0" collapsed="false">
      <c r="A20" s="6" t="n">
        <v>10</v>
      </c>
      <c r="B20" s="6" t="s">
        <v>176</v>
      </c>
      <c r="C20" s="13" t="n">
        <v>120000000</v>
      </c>
      <c r="D20" s="13" t="n">
        <v>600000000</v>
      </c>
      <c r="E20" s="6" t="s">
        <v>177</v>
      </c>
    </row>
    <row r="21" customFormat="false" ht="15" hidden="false" customHeight="true" outlineLevel="0" collapsed="false">
      <c r="A21" s="24"/>
      <c r="B21" s="24"/>
      <c r="C21" s="24"/>
      <c r="D21" s="24"/>
      <c r="E21" s="24"/>
    </row>
    <row r="22" customFormat="false" ht="15" hidden="false" customHeight="true" outlineLevel="0" collapsed="false">
      <c r="A22" s="24"/>
      <c r="B22" s="24" t="s">
        <v>178</v>
      </c>
      <c r="C22" s="24"/>
      <c r="D22" s="24"/>
      <c r="E22" s="24"/>
    </row>
    <row r="23" customFormat="false" ht="15" hidden="false" customHeight="true" outlineLevel="0" collapsed="false">
      <c r="A23" s="6" t="n">
        <v>11</v>
      </c>
      <c r="B23" s="6" t="s">
        <v>179</v>
      </c>
      <c r="C23" s="13" t="n">
        <v>0</v>
      </c>
      <c r="D23" s="13" t="n">
        <v>0</v>
      </c>
      <c r="E23" s="6" t="s">
        <v>180</v>
      </c>
    </row>
    <row r="24" customFormat="false" ht="15" hidden="false" customHeight="true" outlineLevel="0" collapsed="false">
      <c r="A24" s="6" t="n">
        <v>12</v>
      </c>
      <c r="B24" s="6" t="s">
        <v>181</v>
      </c>
      <c r="C24" s="13" t="n">
        <v>500000</v>
      </c>
      <c r="D24" s="13" t="n">
        <v>1500000</v>
      </c>
      <c r="E24" s="6" t="s">
        <v>182</v>
      </c>
    </row>
    <row r="25" customFormat="false" ht="15" hidden="false" customHeight="true" outlineLevel="0" collapsed="false">
      <c r="A25" s="6" t="n">
        <v>13</v>
      </c>
      <c r="B25" s="6" t="s">
        <v>183</v>
      </c>
      <c r="C25" s="13" t="n">
        <v>15000000</v>
      </c>
      <c r="D25" s="13" t="n">
        <v>75000000</v>
      </c>
      <c r="E25" s="6" t="s">
        <v>184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2026-06-20T03:36:11Z</dcterms:created>
  <dc:creator>openpyxl</dc:creator>
  <dc:description/>
  <dc:language>en-US</dc:language>
  <cp:lastModifiedBy/>
  <dcterms:modified xsi:type="dcterms:W3CDTF">2026-06-20T03:41:31Z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